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winfredayertey/Downloads/ECG/NB&amp;RM/Division_URM/All Reports_NB&amp;RM/Daily Demand Schedule for Dispatch/5 May 2026/Friday May 22, 2026/"/>
    </mc:Choice>
  </mc:AlternateContent>
  <xr:revisionPtr revIDLastSave="0" documentId="13_ncr:1_{59C69BDA-C3FE-FF40-B76E-0667F32F706D}" xr6:coauthVersionLast="47" xr6:coauthVersionMax="47" xr10:uidLastSave="{00000000-0000-0000-0000-000000000000}"/>
  <bookViews>
    <workbookView xWindow="4420" yWindow="2400" windowWidth="25820" windowHeight="15680" xr2:uid="{6B66589D-3CEE-B24A-88E7-D490AC3C4E01}"/>
  </bookViews>
  <sheets>
    <sheet name="ECG Daily Demand Data 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60" i="1" l="1"/>
  <c r="V54" i="1"/>
  <c r="U54" i="1"/>
  <c r="T54" i="1"/>
  <c r="S54" i="1"/>
  <c r="L54" i="1"/>
  <c r="K54" i="1"/>
  <c r="J54" i="1"/>
  <c r="Z45" i="1"/>
  <c r="Z54" i="1" s="1"/>
  <c r="Y45" i="1"/>
  <c r="Y54" i="1" s="1"/>
  <c r="X45" i="1"/>
  <c r="X54" i="1" s="1"/>
  <c r="W45" i="1"/>
  <c r="W54" i="1" s="1"/>
  <c r="V45" i="1"/>
  <c r="U45" i="1"/>
  <c r="T45" i="1"/>
  <c r="S45" i="1"/>
  <c r="R45" i="1"/>
  <c r="R54" i="1" s="1"/>
  <c r="Q45" i="1"/>
  <c r="Q54" i="1" s="1"/>
  <c r="P45" i="1"/>
  <c r="P54" i="1" s="1"/>
  <c r="O45" i="1"/>
  <c r="O54" i="1" s="1"/>
  <c r="N45" i="1"/>
  <c r="N54" i="1" s="1"/>
  <c r="M45" i="1"/>
  <c r="M54" i="1" s="1"/>
  <c r="L45" i="1"/>
  <c r="K45" i="1"/>
  <c r="J45" i="1"/>
  <c r="I45" i="1"/>
  <c r="I54" i="1" s="1"/>
  <c r="H45" i="1"/>
  <c r="H54" i="1" s="1"/>
  <c r="G45" i="1"/>
  <c r="G54" i="1" s="1"/>
  <c r="F45" i="1"/>
  <c r="F54" i="1" s="1"/>
  <c r="E45" i="1"/>
  <c r="E54" i="1" s="1"/>
  <c r="D45" i="1"/>
  <c r="D54" i="1" s="1"/>
  <c r="C45" i="1"/>
  <c r="C54" i="1" s="1"/>
  <c r="I33" i="1"/>
  <c r="K9" i="1"/>
</calcChain>
</file>

<file path=xl/sharedStrings.xml><?xml version="1.0" encoding="utf-8"?>
<sst xmlns="http://schemas.openxmlformats.org/spreadsheetml/2006/main" count="46" uniqueCount="43">
  <si>
    <t xml:space="preserve">DAILY DEMAND DATA SHEET FOR DISPATCH DAY       </t>
  </si>
  <si>
    <r>
      <t>1.</t>
    </r>
    <r>
      <rPr>
        <b/>
        <sz val="7"/>
        <color theme="1"/>
        <rFont val="Times New Roman"/>
        <family val="1"/>
      </rPr>
      <t xml:space="preserve">    </t>
    </r>
    <r>
      <rPr>
        <b/>
        <sz val="12"/>
        <color theme="1"/>
        <rFont val="Arial"/>
        <family val="2"/>
      </rPr>
      <t>Main Addresses</t>
    </r>
  </si>
  <si>
    <t xml:space="preserve">Organisation Name   :         </t>
  </si>
  <si>
    <t>ELECTRICITY COMPANY OF GHANA</t>
  </si>
  <si>
    <t xml:space="preserve">Mailing Address      :           </t>
  </si>
  <si>
    <t xml:space="preserve">P.O.BOX 521, ACCRA. </t>
  </si>
  <si>
    <t>Location                   :</t>
  </si>
  <si>
    <t>ELECTRO - VOLTA HOUSE</t>
  </si>
  <si>
    <t>City                          :</t>
  </si>
  <si>
    <t>ACCRA</t>
  </si>
  <si>
    <t>Telephone             :</t>
  </si>
  <si>
    <t>0302676727 - 47</t>
  </si>
  <si>
    <t>2. Market Coordinator</t>
  </si>
  <si>
    <t>Name:</t>
  </si>
  <si>
    <t>CARL J. ANKRAH</t>
  </si>
  <si>
    <t>Designation:  GENERAL MANAGER/UPSTREAM RISK MGT.</t>
  </si>
  <si>
    <t>Cell Phone:</t>
  </si>
  <si>
    <t>0204541079</t>
  </si>
  <si>
    <t>Other Phone:</t>
  </si>
  <si>
    <t>0302676727 ext 171</t>
  </si>
  <si>
    <t>Email:</t>
  </si>
  <si>
    <t>ENERGYTRADING@ECGGH.COM</t>
  </si>
  <si>
    <t>Fax Number:</t>
  </si>
  <si>
    <t>CJANKRAH@ECGGH.COM</t>
  </si>
  <si>
    <t>3. Details of Demand</t>
  </si>
  <si>
    <t>Date:</t>
  </si>
  <si>
    <t>Source (s) of Power Supply and Amount of Power (MW)</t>
  </si>
  <si>
    <t>No.</t>
  </si>
  <si>
    <t>Source</t>
  </si>
  <si>
    <t>Amount of Power (MW)</t>
  </si>
  <si>
    <t>Hour</t>
  </si>
  <si>
    <t>a) Total ECG Demand (MW)</t>
  </si>
  <si>
    <t>b) Embedded Sources (MW)</t>
  </si>
  <si>
    <t>Trojan I (Tema)</t>
  </si>
  <si>
    <r>
      <t>Meienergy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</si>
  <si>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BXC Solar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</si>
  <si>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rPr>
        <b/>
        <i/>
        <vertAlign val="superscript"/>
        <sz val="12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 xml:space="preserve"> Due to intermittency,  Generation from BXC solar and Meienergy Technology is not been included in the planned schedule for now.</t>
    </r>
  </si>
  <si>
    <t>c. Scheduled Demand from the NITS</t>
  </si>
  <si>
    <t>Comments</t>
  </si>
  <si>
    <t>Signature:</t>
  </si>
  <si>
    <t>C.J.A</t>
  </si>
  <si>
    <t>Designation:</t>
  </si>
  <si>
    <t xml:space="preserve"> GENERAL MANAGER/UPSTREAM RISK MGT.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</si>
</sst>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[$]d\ mmm\ yyyy;@" x16r2:formatCode16="[$-en-GH,1]d\ mmm\ yyyy;@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quotePrefix="1" applyNumberFormat="1"/>
    <xf numFmtId="0" fontId="0" fillId="0" borderId="0" xfId="0" quotePrefix="1"/>
    <xf numFmtId="0" fontId="7" fillId="0" borderId="0" xfId="2" applyBorder="1"/>
    <xf numFmtId="0" fontId="7" fillId="0" borderId="7" xfId="2" applyBorder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wrapText="1"/>
    </xf>
    <xf numFmtId="165" fontId="0" fillId="0" borderId="9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5" xfId="0" applyNumberFormat="1" applyBorder="1"/>
    <xf numFmtId="0" fontId="8" fillId="0" borderId="4" xfId="0" applyFont="1" applyBorder="1" applyAlignment="1">
      <alignment wrapText="1"/>
    </xf>
    <xf numFmtId="165" fontId="0" fillId="0" borderId="0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8" fillId="0" borderId="9" xfId="1" applyNumberFormat="1" applyFont="1" applyBorder="1" applyAlignment="1">
      <alignment horizontal="center" vertical="center"/>
    </xf>
    <xf numFmtId="0" fontId="9" fillId="0" borderId="9" xfId="0" applyFont="1" applyBorder="1" applyAlignment="1">
      <alignment wrapText="1"/>
    </xf>
    <xf numFmtId="165" fontId="9" fillId="0" borderId="9" xfId="1" applyNumberFormat="1" applyFont="1" applyBorder="1" applyAlignment="1">
      <alignment horizontal="center" vertical="center"/>
    </xf>
    <xf numFmtId="0" fontId="9" fillId="0" borderId="4" xfId="0" applyFont="1" applyBorder="1"/>
    <xf numFmtId="165" fontId="9" fillId="0" borderId="0" xfId="1" applyNumberFormat="1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12" fillId="0" borderId="9" xfId="0" applyFont="1" applyBorder="1" applyAlignment="1">
      <alignment wrapText="1"/>
    </xf>
    <xf numFmtId="165" fontId="12" fillId="0" borderId="9" xfId="1" applyNumberFormat="1" applyFont="1" applyBorder="1" applyAlignment="1">
      <alignment horizontal="center" vertical="center"/>
    </xf>
    <xf numFmtId="0" fontId="9" fillId="0" borderId="0" xfId="0" applyFont="1" applyAlignment="1">
      <alignment wrapText="1"/>
    </xf>
    <xf numFmtId="165" fontId="0" fillId="0" borderId="0" xfId="0" applyNumberFormat="1"/>
    <xf numFmtId="0" fontId="13" fillId="0" borderId="0" xfId="0" applyFont="1"/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0" fontId="8" fillId="0" borderId="0" xfId="0" applyFont="1" applyAlignment="1">
      <alignment horizontal="center" wrapText="1"/>
    </xf>
    <xf numFmtId="166" fontId="1" fillId="0" borderId="0" xfId="0" applyNumberFormat="1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428171</xdr:colOff>
      <xdr:row>3</xdr:row>
      <xdr:rowOff>19956</xdr:rowOff>
    </xdr:from>
    <xdr:to>
      <xdr:col>24</xdr:col>
      <xdr:colOff>519612</xdr:colOff>
      <xdr:row>4</xdr:row>
      <xdr:rowOff>177890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728D8EC-9F39-474C-A73E-376E2C0EAD5A}"/>
            </a:ext>
          </a:extLst>
        </xdr:cNvPr>
        <xdr:cNvGrpSpPr>
          <a:grpSpLocks/>
        </xdr:cNvGrpSpPr>
      </xdr:nvGrpSpPr>
      <xdr:grpSpPr>
        <a:xfrm>
          <a:off x="13128171" y="576473"/>
          <a:ext cx="1803801" cy="343439"/>
          <a:chOff x="0" y="0"/>
          <a:chExt cx="8763000" cy="163036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B2C358F-4CF0-6E34-0ACA-E8A56552AF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0" y="0"/>
            <a:ext cx="3130550" cy="16303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948E057-5BA1-8A64-9899-04DA5F2EB0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2992437" y="0"/>
            <a:ext cx="3332163" cy="16303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D08FF68-EFEC-F021-21AA-40B6EA1C17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6334125" y="7938"/>
            <a:ext cx="2428875" cy="16160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</xdr:grpSp>
    <xdr:clientData/>
  </xdr:twoCellAnchor>
  <xdr:twoCellAnchor editAs="oneCell">
    <xdr:from>
      <xdr:col>1</xdr:col>
      <xdr:colOff>0</xdr:colOff>
      <xdr:row>1</xdr:row>
      <xdr:rowOff>152401</xdr:rowOff>
    </xdr:from>
    <xdr:to>
      <xdr:col>1</xdr:col>
      <xdr:colOff>836386</xdr:colOff>
      <xdr:row>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A1E028-54EB-3140-B2E4-AEF1D46A4856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" y="342901"/>
          <a:ext cx="836386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riday%20May%201,%202026/Friday%20May%201,%202026.xlsx" TargetMode="External"/><Relationship Id="rId2" Type="http://schemas.openxmlformats.org/officeDocument/2006/relationships/externalLinkPath" Target="/Users/winfredayertey/Downloads/ECG/NB&amp;RM/Division_URM/All%20Reports_NB&amp;RM/Daily%20Demand%20Schedule%20for%20Dispatch/5%20May%202026/Friday%20May%201,%202026/Friday%20May%201,%202026.xlsx" TargetMode="External"/><Relationship Id="rId1" Type="http://schemas.openxmlformats.org/officeDocument/2006/relationships/externalLinkPath" Target="/Users/winfredayertey/Downloads/ECG/NB&amp;RM/Division_URM/All%20Reports_NB&amp;RM/Daily%20Demand%20Schedule%20for%20Dispatch/5%20May%202026/Friday%20May%201,%202026/Friday%20May%201,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IVOT TEMPLATE "/>
      <sheetName val="Sheet3"/>
      <sheetName val="ACTUALS 27 MAY 2019"/>
      <sheetName val="Adjust prev YR ACT AT A GLANCE"/>
      <sheetName val="ACTION"/>
      <sheetName val="ECG Daily Demand Data Sheet"/>
    </sheetNames>
    <sheetDataSet>
      <sheetData sheetId="0"/>
      <sheetData sheetId="1"/>
      <sheetData sheetId="2"/>
      <sheetData sheetId="3"/>
      <sheetData sheetId="4">
        <row r="42">
          <cell r="C42">
            <v>2056.1163000578317</v>
          </cell>
          <cell r="D42">
            <v>1987.2613372622025</v>
          </cell>
          <cell r="E42">
            <v>1939.9472543019117</v>
          </cell>
          <cell r="F42">
            <v>1907.0059148597679</v>
          </cell>
          <cell r="G42">
            <v>1966.0118292756529</v>
          </cell>
          <cell r="H42">
            <v>1914.5240933423133</v>
          </cell>
          <cell r="I42">
            <v>1786.3123955067617</v>
          </cell>
          <cell r="J42">
            <v>1786.6126052091925</v>
          </cell>
          <cell r="K42">
            <v>1806.397029477753</v>
          </cell>
          <cell r="L42">
            <v>1808.1062589052051</v>
          </cell>
          <cell r="M42">
            <v>1872.3604540036906</v>
          </cell>
          <cell r="N42">
            <v>1919.2818505437685</v>
          </cell>
          <cell r="O42">
            <v>1980.6552018270038</v>
          </cell>
          <cell r="P42">
            <v>2026.2978997788505</v>
          </cell>
          <cell r="Q42">
            <v>2065.8060460887054</v>
          </cell>
          <cell r="R42">
            <v>2099.6524007873431</v>
          </cell>
          <cell r="S42">
            <v>2090.1896508303203</v>
          </cell>
          <cell r="T42">
            <v>2194.9572836759639</v>
          </cell>
          <cell r="U42">
            <v>2492.9256296530889</v>
          </cell>
          <cell r="V42">
            <v>2469.3390459130283</v>
          </cell>
          <cell r="W42">
            <v>2652.3421903072149</v>
          </cell>
          <cell r="X42">
            <v>2414.7645057203295</v>
          </cell>
          <cell r="Y42">
            <v>2368.7468678328314</v>
          </cell>
          <cell r="Z42">
            <v>2224.0382948673182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JANKRAH@ECGGH.COM" TargetMode="External"/><Relationship Id="rId1" Type="http://schemas.openxmlformats.org/officeDocument/2006/relationships/hyperlink" Target="mailto:ENERGYTRADING@ECGGH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B8B4-F05A-7A45-B2C8-883EDC8B6F0D}">
  <dimension ref="B9:AF62"/>
  <sheetViews>
    <sheetView tabSelected="1" zoomScale="89" zoomScaleNormal="80" workbookViewId="0">
      <selection activeCell="K9" sqref="K9:P9"/>
    </sheetView>
  </sheetViews>
  <sheetFormatPr baseColWidth="10" defaultColWidth="8.83203125" defaultRowHeight="15" x14ac:dyDescent="0.2"/>
  <cols>
    <col min="2" max="2" width="13.6640625" customWidth="1"/>
    <col min="3" max="10" width="7.5" customWidth="1"/>
    <col min="11" max="11" width="7.6640625" customWidth="1"/>
    <col min="12" max="12" width="8.5" customWidth="1"/>
    <col min="13" max="13" width="7.5" customWidth="1"/>
    <col min="14" max="14" width="8.1640625" bestFit="1" customWidth="1"/>
    <col min="15" max="26" width="7.5" customWidth="1"/>
    <col min="27" max="45" width="8.83203125" customWidth="1"/>
  </cols>
  <sheetData>
    <row r="9" spans="2:16" ht="20" x14ac:dyDescent="0.2">
      <c r="B9" s="38" t="s">
        <v>0</v>
      </c>
      <c r="C9" s="38"/>
      <c r="D9" s="38"/>
      <c r="E9" s="38"/>
      <c r="F9" s="38"/>
      <c r="G9" s="38"/>
      <c r="H9" s="38"/>
      <c r="I9" s="38"/>
      <c r="J9" s="38"/>
      <c r="K9" s="39">
        <f ca="1">TODAY()+1</f>
        <v>46164</v>
      </c>
      <c r="L9" s="39"/>
      <c r="M9" s="39"/>
      <c r="N9" s="39"/>
      <c r="O9" s="39"/>
      <c r="P9" s="39"/>
    </row>
    <row r="11" spans="2:16" ht="16" x14ac:dyDescent="0.2">
      <c r="B11" s="1" t="s">
        <v>1</v>
      </c>
      <c r="C11" s="1"/>
      <c r="D11" s="1"/>
      <c r="E11" s="1"/>
    </row>
    <row r="12" spans="2:16" x14ac:dyDescent="0.2">
      <c r="B12" s="2" t="s">
        <v>2</v>
      </c>
      <c r="C12" s="3"/>
      <c r="D12" s="3" t="s">
        <v>3</v>
      </c>
      <c r="E12" s="3"/>
      <c r="F12" s="3"/>
      <c r="G12" s="3"/>
      <c r="H12" s="3"/>
      <c r="I12" s="3"/>
      <c r="J12" s="3"/>
      <c r="K12" s="4"/>
    </row>
    <row r="13" spans="2:16" x14ac:dyDescent="0.2">
      <c r="B13" s="5"/>
      <c r="K13" s="6"/>
    </row>
    <row r="14" spans="2:16" x14ac:dyDescent="0.2">
      <c r="B14" s="5" t="s">
        <v>4</v>
      </c>
      <c r="D14" t="s">
        <v>5</v>
      </c>
      <c r="K14" s="6"/>
    </row>
    <row r="15" spans="2:16" x14ac:dyDescent="0.2">
      <c r="B15" s="5"/>
      <c r="K15" s="6"/>
    </row>
    <row r="16" spans="2:16" x14ac:dyDescent="0.2">
      <c r="B16" s="5" t="s">
        <v>6</v>
      </c>
      <c r="D16" t="s">
        <v>7</v>
      </c>
      <c r="K16" s="6"/>
    </row>
    <row r="17" spans="2:13" x14ac:dyDescent="0.2">
      <c r="B17" s="5"/>
      <c r="K17" s="6"/>
    </row>
    <row r="18" spans="2:13" x14ac:dyDescent="0.2">
      <c r="B18" s="5" t="s">
        <v>8</v>
      </c>
      <c r="D18" t="s">
        <v>9</v>
      </c>
      <c r="K18" s="6"/>
    </row>
    <row r="19" spans="2:13" x14ac:dyDescent="0.2">
      <c r="B19" s="5"/>
      <c r="K19" s="6"/>
    </row>
    <row r="20" spans="2:13" x14ac:dyDescent="0.2">
      <c r="B20" s="5" t="s">
        <v>10</v>
      </c>
      <c r="D20" t="s">
        <v>11</v>
      </c>
      <c r="K20" s="6"/>
    </row>
    <row r="21" spans="2:13" x14ac:dyDescent="0.2">
      <c r="B21" s="7"/>
      <c r="C21" s="8"/>
      <c r="D21" s="8"/>
      <c r="E21" s="8"/>
      <c r="F21" s="8"/>
      <c r="G21" s="8"/>
      <c r="H21" s="8"/>
      <c r="I21" s="8"/>
      <c r="J21" s="8"/>
      <c r="K21" s="9"/>
    </row>
    <row r="24" spans="2:13" ht="16" x14ac:dyDescent="0.2">
      <c r="B24" s="1" t="s">
        <v>12</v>
      </c>
    </row>
    <row r="25" spans="2:13" x14ac:dyDescent="0.2">
      <c r="B25" s="2" t="s">
        <v>13</v>
      </c>
      <c r="C25" s="3" t="s">
        <v>14</v>
      </c>
      <c r="D25" s="3"/>
      <c r="E25" s="3"/>
      <c r="F25" s="3"/>
      <c r="G25" s="3"/>
      <c r="H25" s="3" t="s">
        <v>15</v>
      </c>
      <c r="I25" s="3"/>
      <c r="J25" s="3"/>
      <c r="K25" s="3"/>
      <c r="L25" s="3"/>
      <c r="M25" s="4"/>
    </row>
    <row r="26" spans="2:13" x14ac:dyDescent="0.2">
      <c r="B26" s="5"/>
      <c r="M26" s="6"/>
    </row>
    <row r="27" spans="2:13" x14ac:dyDescent="0.2">
      <c r="B27" s="5" t="s">
        <v>16</v>
      </c>
      <c r="C27" s="10" t="s">
        <v>17</v>
      </c>
      <c r="H27" t="s">
        <v>18</v>
      </c>
      <c r="J27" s="11" t="s">
        <v>19</v>
      </c>
      <c r="M27" s="6"/>
    </row>
    <row r="28" spans="2:13" x14ac:dyDescent="0.2">
      <c r="B28" s="5"/>
      <c r="M28" s="6"/>
    </row>
    <row r="29" spans="2:13" x14ac:dyDescent="0.2">
      <c r="B29" s="5" t="s">
        <v>20</v>
      </c>
      <c r="C29" s="12" t="s">
        <v>21</v>
      </c>
      <c r="H29" t="s">
        <v>22</v>
      </c>
      <c r="M29" s="6"/>
    </row>
    <row r="30" spans="2:13" x14ac:dyDescent="0.2">
      <c r="B30" s="7"/>
      <c r="C30" s="13" t="s">
        <v>23</v>
      </c>
      <c r="D30" s="8"/>
      <c r="E30" s="8"/>
      <c r="F30" s="8"/>
      <c r="G30" s="8"/>
      <c r="H30" s="8"/>
      <c r="I30" s="8"/>
      <c r="J30" s="8"/>
      <c r="K30" s="8"/>
      <c r="L30" s="8"/>
      <c r="M30" s="9"/>
    </row>
    <row r="31" spans="2:13" x14ac:dyDescent="0.2">
      <c r="C31" s="12"/>
    </row>
    <row r="33" spans="2:32" ht="18" x14ac:dyDescent="0.2">
      <c r="B33" s="1" t="s">
        <v>24</v>
      </c>
      <c r="H33" t="s">
        <v>25</v>
      </c>
      <c r="I33" s="39">
        <f ca="1">TODAY()+1</f>
        <v>46164</v>
      </c>
      <c r="J33" s="39"/>
      <c r="K33" s="39"/>
      <c r="L33" s="39"/>
      <c r="M33" s="39"/>
      <c r="N33" s="39"/>
      <c r="O33" s="39"/>
      <c r="P33" s="39"/>
    </row>
    <row r="34" spans="2:32" x14ac:dyDescent="0.2">
      <c r="B34" t="s">
        <v>26</v>
      </c>
    </row>
    <row r="36" spans="2:32" ht="14.5" customHeight="1" x14ac:dyDescent="0.2">
      <c r="B36" s="14" t="s">
        <v>27</v>
      </c>
      <c r="C36" s="14" t="s">
        <v>28</v>
      </c>
      <c r="D36" s="15"/>
      <c r="E36" s="15"/>
      <c r="F36" s="15"/>
      <c r="G36" s="40" t="s">
        <v>29</v>
      </c>
      <c r="H36" s="40"/>
      <c r="I36" s="40"/>
      <c r="J36" s="40"/>
    </row>
    <row r="37" spans="2:32" x14ac:dyDescent="0.2">
      <c r="B37" s="16"/>
    </row>
    <row r="38" spans="2:32" x14ac:dyDescent="0.2">
      <c r="B38" s="16"/>
    </row>
    <row r="39" spans="2:32" x14ac:dyDescent="0.2">
      <c r="B39" s="16"/>
    </row>
    <row r="40" spans="2:32" x14ac:dyDescent="0.2">
      <c r="B40" s="16"/>
    </row>
    <row r="41" spans="2:32" x14ac:dyDescent="0.2">
      <c r="B41" s="16"/>
    </row>
    <row r="42" spans="2:32" x14ac:dyDescent="0.2">
      <c r="B42" s="16"/>
    </row>
    <row r="44" spans="2:32" x14ac:dyDescent="0.2">
      <c r="B44" s="17" t="s">
        <v>30</v>
      </c>
      <c r="C44" s="18">
        <v>1</v>
      </c>
      <c r="D44" s="18">
        <v>2</v>
      </c>
      <c r="E44" s="18">
        <v>3</v>
      </c>
      <c r="F44" s="18">
        <v>4</v>
      </c>
      <c r="G44" s="18">
        <v>5</v>
      </c>
      <c r="H44" s="18">
        <v>6</v>
      </c>
      <c r="I44" s="18">
        <v>7</v>
      </c>
      <c r="J44" s="18">
        <v>8</v>
      </c>
      <c r="K44" s="18">
        <v>9</v>
      </c>
      <c r="L44" s="18">
        <v>10</v>
      </c>
      <c r="M44" s="18">
        <v>11</v>
      </c>
      <c r="N44" s="18">
        <v>12</v>
      </c>
      <c r="O44" s="18">
        <v>13</v>
      </c>
      <c r="P44" s="18">
        <v>14</v>
      </c>
      <c r="Q44" s="18">
        <v>15</v>
      </c>
      <c r="R44" s="18">
        <v>16</v>
      </c>
      <c r="S44" s="18">
        <v>17</v>
      </c>
      <c r="T44" s="18">
        <v>18</v>
      </c>
      <c r="U44" s="18">
        <v>19</v>
      </c>
      <c r="V44" s="18">
        <v>20</v>
      </c>
      <c r="W44" s="18">
        <v>21</v>
      </c>
      <c r="X44" s="18">
        <v>22</v>
      </c>
      <c r="Y44" s="18">
        <v>23</v>
      </c>
      <c r="Z44" s="18">
        <v>24</v>
      </c>
    </row>
    <row r="45" spans="2:32" ht="32" x14ac:dyDescent="0.2">
      <c r="B45" s="19" t="s">
        <v>31</v>
      </c>
      <c r="C45" s="20">
        <f>[1]ACTION!C42</f>
        <v>2056.1163000578317</v>
      </c>
      <c r="D45" s="20">
        <f>[1]ACTION!D42</f>
        <v>1987.2613372622025</v>
      </c>
      <c r="E45" s="20">
        <f>[1]ACTION!E42</f>
        <v>1939.9472543019117</v>
      </c>
      <c r="F45" s="20">
        <f>[1]ACTION!F42</f>
        <v>1907.0059148597679</v>
      </c>
      <c r="G45" s="20">
        <f>[1]ACTION!G42</f>
        <v>1966.0118292756529</v>
      </c>
      <c r="H45" s="20">
        <f>[1]ACTION!H42</f>
        <v>1914.5240933423133</v>
      </c>
      <c r="I45" s="20">
        <f>[1]ACTION!I42</f>
        <v>1786.3123955067617</v>
      </c>
      <c r="J45" s="20">
        <f>[1]ACTION!J42</f>
        <v>1786.6126052091925</v>
      </c>
      <c r="K45" s="20">
        <f>[1]ACTION!K42</f>
        <v>1806.397029477753</v>
      </c>
      <c r="L45" s="20">
        <f>[1]ACTION!L42</f>
        <v>1808.1062589052051</v>
      </c>
      <c r="M45" s="20">
        <f>[1]ACTION!M42</f>
        <v>1872.3604540036906</v>
      </c>
      <c r="N45" s="20">
        <f>[1]ACTION!N42</f>
        <v>1919.2818505437685</v>
      </c>
      <c r="O45" s="20">
        <f>[1]ACTION!O42</f>
        <v>1980.6552018270038</v>
      </c>
      <c r="P45" s="20">
        <f>[1]ACTION!P42</f>
        <v>2026.2978997788505</v>
      </c>
      <c r="Q45" s="20">
        <f>[1]ACTION!Q42</f>
        <v>2065.8060460887054</v>
      </c>
      <c r="R45" s="20">
        <f>[1]ACTION!R42</f>
        <v>2099.6524007873431</v>
      </c>
      <c r="S45" s="20">
        <f>[1]ACTION!S42</f>
        <v>2090.1896508303203</v>
      </c>
      <c r="T45" s="20">
        <f>[1]ACTION!T42</f>
        <v>2194.9572836759639</v>
      </c>
      <c r="U45" s="20">
        <f>[1]ACTION!U42</f>
        <v>2492.9256296530889</v>
      </c>
      <c r="V45" s="20">
        <f>[1]ACTION!V42</f>
        <v>2469.3390459130283</v>
      </c>
      <c r="W45" s="20">
        <f>[1]ACTION!W42</f>
        <v>2652.3421903072149</v>
      </c>
      <c r="X45" s="20">
        <f>[1]ACTION!X42</f>
        <v>2414.7645057203295</v>
      </c>
      <c r="Y45" s="20">
        <f>[1]ACTION!Y42</f>
        <v>2368.7468678328314</v>
      </c>
      <c r="Z45" s="20">
        <f>[1]ACTION!Z42</f>
        <v>2224.0382948673182</v>
      </c>
    </row>
    <row r="46" spans="2:32" x14ac:dyDescent="0.2">
      <c r="B46" s="5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2"/>
      <c r="AA46" s="21"/>
      <c r="AB46" s="21"/>
      <c r="AC46" s="21"/>
      <c r="AD46" s="21"/>
      <c r="AE46" s="21"/>
      <c r="AF46" s="21"/>
    </row>
    <row r="47" spans="2:32" x14ac:dyDescent="0.2"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5"/>
    </row>
    <row r="48" spans="2:32" x14ac:dyDescent="0.2">
      <c r="B48" s="17" t="s">
        <v>32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2:26" s="15" customFormat="1" ht="16" x14ac:dyDescent="0.2">
      <c r="B49" s="19" t="s">
        <v>33</v>
      </c>
      <c r="C49" s="26">
        <v>0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</row>
    <row r="50" spans="2:26" ht="17.5" customHeight="1" x14ac:dyDescent="0.2">
      <c r="B50" s="27" t="s">
        <v>34</v>
      </c>
      <c r="C50" s="20"/>
      <c r="D50" s="20"/>
      <c r="E50" s="20"/>
      <c r="F50" s="20"/>
      <c r="G50" s="20"/>
      <c r="H50" s="20"/>
      <c r="I50" s="20"/>
      <c r="J50" s="20">
        <v>20</v>
      </c>
      <c r="K50" s="20">
        <v>20</v>
      </c>
      <c r="L50" s="20">
        <v>20</v>
      </c>
      <c r="M50" s="20">
        <v>20</v>
      </c>
      <c r="N50" s="20">
        <v>20</v>
      </c>
      <c r="O50" s="20">
        <v>20</v>
      </c>
      <c r="P50" s="20">
        <v>20</v>
      </c>
      <c r="Q50" s="20">
        <v>20</v>
      </c>
      <c r="R50" s="20">
        <v>20</v>
      </c>
      <c r="S50" s="20"/>
      <c r="T50" s="20"/>
      <c r="U50" s="20"/>
      <c r="V50" s="20"/>
      <c r="W50" s="20"/>
      <c r="X50" s="20"/>
      <c r="Y50" s="20"/>
      <c r="Z50" s="20"/>
    </row>
    <row r="51" spans="2:26" ht="20" x14ac:dyDescent="0.2">
      <c r="B51" s="27" t="s">
        <v>35</v>
      </c>
      <c r="C51" s="28"/>
      <c r="D51" s="28"/>
      <c r="E51" s="28"/>
      <c r="F51" s="28"/>
      <c r="G51" s="28"/>
      <c r="H51" s="28"/>
      <c r="I51" s="28"/>
      <c r="J51" s="28">
        <v>20</v>
      </c>
      <c r="K51" s="28">
        <v>20</v>
      </c>
      <c r="L51" s="28">
        <v>20</v>
      </c>
      <c r="M51" s="28">
        <v>20</v>
      </c>
      <c r="N51" s="28">
        <v>20</v>
      </c>
      <c r="O51" s="28">
        <v>20</v>
      </c>
      <c r="P51" s="28">
        <v>20</v>
      </c>
      <c r="Q51" s="28">
        <v>20</v>
      </c>
      <c r="R51" s="28">
        <v>20</v>
      </c>
      <c r="S51" s="28"/>
      <c r="T51" s="28"/>
      <c r="U51" s="28"/>
      <c r="V51" s="28"/>
      <c r="W51" s="28"/>
      <c r="X51" s="28"/>
      <c r="Y51" s="28"/>
      <c r="Z51" s="28"/>
    </row>
    <row r="52" spans="2:26" ht="19" x14ac:dyDescent="0.2">
      <c r="B52" s="29" t="s">
        <v>36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1"/>
    </row>
    <row r="53" spans="2:26" x14ac:dyDescent="0.2">
      <c r="B53" s="32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1"/>
    </row>
    <row r="54" spans="2:26" ht="48" x14ac:dyDescent="0.2">
      <c r="B54" s="33" t="s">
        <v>37</v>
      </c>
      <c r="C54" s="34">
        <f>C45</f>
        <v>2056.1163000578317</v>
      </c>
      <c r="D54" s="34">
        <f t="shared" ref="D54:Z54" si="0">D45</f>
        <v>1987.2613372622025</v>
      </c>
      <c r="E54" s="34">
        <f t="shared" si="0"/>
        <v>1939.9472543019117</v>
      </c>
      <c r="F54" s="34">
        <f t="shared" si="0"/>
        <v>1907.0059148597679</v>
      </c>
      <c r="G54" s="34">
        <f t="shared" si="0"/>
        <v>1966.0118292756529</v>
      </c>
      <c r="H54" s="34">
        <f t="shared" si="0"/>
        <v>1914.5240933423133</v>
      </c>
      <c r="I54" s="34">
        <f t="shared" si="0"/>
        <v>1786.3123955067617</v>
      </c>
      <c r="J54" s="34">
        <f t="shared" si="0"/>
        <v>1786.6126052091925</v>
      </c>
      <c r="K54" s="34">
        <f t="shared" si="0"/>
        <v>1806.397029477753</v>
      </c>
      <c r="L54" s="34">
        <f>L45</f>
        <v>1808.1062589052051</v>
      </c>
      <c r="M54" s="34">
        <f t="shared" si="0"/>
        <v>1872.3604540036906</v>
      </c>
      <c r="N54" s="34">
        <f t="shared" si="0"/>
        <v>1919.2818505437685</v>
      </c>
      <c r="O54" s="34">
        <f t="shared" si="0"/>
        <v>1980.6552018270038</v>
      </c>
      <c r="P54" s="34">
        <f t="shared" si="0"/>
        <v>2026.2978997788505</v>
      </c>
      <c r="Q54" s="34">
        <f t="shared" si="0"/>
        <v>2065.8060460887054</v>
      </c>
      <c r="R54" s="34">
        <f t="shared" si="0"/>
        <v>2099.6524007873431</v>
      </c>
      <c r="S54" s="34">
        <f t="shared" si="0"/>
        <v>2090.1896508303203</v>
      </c>
      <c r="T54" s="34">
        <f t="shared" si="0"/>
        <v>2194.9572836759639</v>
      </c>
      <c r="U54" s="34">
        <f t="shared" si="0"/>
        <v>2492.9256296530889</v>
      </c>
      <c r="V54" s="34">
        <f t="shared" si="0"/>
        <v>2469.3390459130283</v>
      </c>
      <c r="W54" s="34">
        <f t="shared" si="0"/>
        <v>2652.3421903072149</v>
      </c>
      <c r="X54" s="34">
        <f t="shared" si="0"/>
        <v>2414.7645057203295</v>
      </c>
      <c r="Y54" s="34">
        <f t="shared" si="0"/>
        <v>2368.7468678328314</v>
      </c>
      <c r="Z54" s="34">
        <f t="shared" si="0"/>
        <v>2224.0382948673182</v>
      </c>
    </row>
    <row r="55" spans="2:26" x14ac:dyDescent="0.2">
      <c r="B55" s="35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2:26" x14ac:dyDescent="0.2"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0"/>
      <c r="R56" s="36"/>
      <c r="S56" s="36"/>
      <c r="T56" s="36"/>
      <c r="U56" s="36"/>
      <c r="V56" s="36"/>
      <c r="W56" s="36"/>
      <c r="X56" s="36"/>
      <c r="Y56" s="36"/>
      <c r="Z56" s="36"/>
    </row>
    <row r="57" spans="2:26" x14ac:dyDescent="0.2">
      <c r="B57" t="s">
        <v>38</v>
      </c>
    </row>
    <row r="60" spans="2:26" ht="16" x14ac:dyDescent="0.2">
      <c r="B60" s="15" t="s">
        <v>39</v>
      </c>
      <c r="C60" t="s">
        <v>40</v>
      </c>
      <c r="D60" s="37"/>
      <c r="Q60" s="15" t="s">
        <v>25</v>
      </c>
      <c r="S60" s="41">
        <f ca="1">TODAY()</f>
        <v>46163</v>
      </c>
      <c r="T60" s="41"/>
      <c r="U60" s="41"/>
    </row>
    <row r="62" spans="2:26" x14ac:dyDescent="0.2">
      <c r="B62" s="15" t="s">
        <v>13</v>
      </c>
      <c r="C62" t="s">
        <v>14</v>
      </c>
      <c r="D62" s="37"/>
      <c r="Q62" s="15" t="s">
        <v>41</v>
      </c>
      <c r="S62" t="s">
        <v>42</v>
      </c>
    </row>
  </sheetData>
  <mergeCells count="5">
    <mergeCell ref="B9:J9"/>
    <mergeCell ref="K9:P9"/>
    <mergeCell ref="I33:P33"/>
    <mergeCell ref="G36:J36"/>
    <mergeCell ref="S60:U60"/>
  </mergeCells>
  <hyperlinks>
    <hyperlink ref="C29" r:id="rId1" xr:uid="{87709E3A-0615-0942-8ADB-6985B17E0D2E}"/>
    <hyperlink ref="C30" r:id="rId2" xr:uid="{7625B304-A88A-CF43-A38E-4F80F8D359CF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 Daily Demand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ECG</dc:creator>
  <cp:lastModifiedBy>ECG</cp:lastModifiedBy>
  <dcterms:created xsi:type="dcterms:W3CDTF">2026-04-30T10:17:35Z</dcterms:created>
  <dcterms:modified xsi:type="dcterms:W3CDTF">2026-05-21T10:49:25Z</dcterms:modified>
</cp:coreProperties>
</file>